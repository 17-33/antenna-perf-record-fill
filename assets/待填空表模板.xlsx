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0rgffecm3x1f22_88ee\msg\file\2026-09\"/>
    </mc:Choice>
  </mc:AlternateContent>
  <bookViews>
    <workbookView windowWidth="23040" windowHeight="9060" firstSheet="1" activeTab="4"/>
  </bookViews>
  <sheets>
    <sheet name="方向图" sheetId="7" r:id="rId1"/>
    <sheet name="EIRP-公式法" sheetId="9" r:id="rId2"/>
    <sheet name="GT-公式法" sheetId="8" r:id="rId3"/>
    <sheet name="跟踪精度" sheetId="5" r:id="rId4"/>
    <sheet name="前向链路（接收）标定" sheetId="12" r:id="rId5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<sst xmlns="http://schemas.openxmlformats.org/spreadsheetml/2006/main" count="94" uniqueCount="59">
  <si>
    <t>方向图数据处理</t>
  </si>
  <si>
    <t>序号</t>
  </si>
  <si>
    <t>LO</t>
  </si>
  <si>
    <t>F</t>
  </si>
  <si>
    <t>AZ</t>
  </si>
  <si>
    <t>EL</t>
  </si>
  <si>
    <t>G-3dB</t>
  </si>
  <si>
    <t>G-10dB</t>
  </si>
  <si>
    <t>Gain</t>
  </si>
  <si>
    <t>M</t>
  </si>
  <si>
    <t>L</t>
  </si>
  <si>
    <t>R</t>
  </si>
  <si>
    <t>D</t>
  </si>
  <si>
    <t>U</t>
  </si>
  <si>
    <t>3dB</t>
  </si>
  <si>
    <t>10dB</t>
  </si>
  <si>
    <t>RX</t>
  </si>
  <si>
    <t>TX</t>
  </si>
  <si>
    <t>.</t>
  </si>
  <si>
    <t>EIRP测试记录表</t>
  </si>
  <si>
    <t>频率(GHz)</t>
  </si>
  <si>
    <t>波长（mm)</t>
  </si>
  <si>
    <t>实测增益
G（dBi)</t>
  </si>
  <si>
    <t>损耗</t>
  </si>
  <si>
    <t>面精度Lm(0.1441mm,dB)</t>
  </si>
  <si>
    <t>G</t>
  </si>
  <si>
    <t>P</t>
  </si>
  <si>
    <t>EIRP</t>
  </si>
  <si>
    <t>天线罩</t>
  </si>
  <si>
    <t>波导</t>
  </si>
  <si>
    <t>标准偏差</t>
  </si>
  <si>
    <t>G/T测试记录表</t>
  </si>
  <si>
    <t>实测增益
G(dBi)</t>
  </si>
  <si>
    <t>噪声温度</t>
  </si>
  <si>
    <t>G/T（含天线罩)</t>
  </si>
  <si>
    <t>馈线波导Lkd(dB)</t>
  </si>
  <si>
    <t>面精度Lm(dB)</t>
  </si>
  <si>
    <t>天线罩Lc(dB）</t>
  </si>
  <si>
    <t>天线Tant(K)</t>
  </si>
  <si>
    <t>LNB噪声系数</t>
  </si>
  <si>
    <t>LNB噪温Tr（K）</t>
  </si>
  <si>
    <t xml:space="preserve">  </t>
  </si>
  <si>
    <t>跟踪精度测试记录表</t>
  </si>
  <si>
    <t>测试次数</t>
  </si>
  <si>
    <t>频率：37.5GHz（高轨）</t>
  </si>
  <si>
    <t>方位Ai</t>
  </si>
  <si>
    <t>俯仰Ei</t>
  </si>
  <si>
    <t>跟踪零值</t>
  </si>
  <si>
    <t>跟踪精度</t>
  </si>
  <si>
    <t>指标要求</t>
  </si>
  <si>
    <t xml:space="preserve">≤     </t>
  </si>
  <si>
    <t>注：蓝色为需测试填写项，黄色为最终结果项。</t>
  </si>
  <si>
    <t>信号源输出0dB/
LNB设置衰减7</t>
  </si>
  <si>
    <t>频点</t>
  </si>
  <si>
    <t>LNB输出</t>
  </si>
  <si>
    <t>LNB-测控基带输出</t>
  </si>
  <si>
    <t>LNB-地基基站IN1</t>
  </si>
  <si>
    <t>LNB-地基基站IN2</t>
  </si>
  <si>
    <t>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</si>
</sst>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_ "/>
    <numFmt numFmtId="178" formatCode="0.00_ "/>
    <numFmt numFmtId="179" formatCode="0.00_);[Red]\(0.00\)"/>
    <numFmt numFmtId="180" formatCode="0.000_ "/>
    <numFmt numFmtId="181" formatCode="0.0000_);[Red]\(0.0000\)"/>
    <numFmt numFmtId="182" formatCode="0.00000_ "/>
  </numFmts>
  <fonts count="25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0" fillId="0" borderId="7" xfId="0" applyNumberFormat="1" applyFont="1" applyBorder="1" applyAlignment="1">
      <alignment horizontal="center" vertical="center"/>
    </xf>
    <xf numFmtId="179" fontId="3" fillId="0" borderId="7" xfId="0" applyNumberFormat="1" applyFont="1" applyBorder="1" applyAlignment="1">
      <alignment horizontal="center" vertical="center" wrapText="1"/>
    </xf>
    <xf numFmtId="179" fontId="0" fillId="0" borderId="4" xfId="0" applyNumberFormat="1" applyFon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179" fontId="3" fillId="0" borderId="4" xfId="0" applyNumberFormat="1" applyFont="1" applyBorder="1" applyAlignment="1">
      <alignment horizontal="center" vertical="center" wrapText="1"/>
    </xf>
    <xf numFmtId="178" fontId="3" fillId="4" borderId="4" xfId="0" applyNumberFormat="1" applyFont="1" applyFill="1" applyBorder="1" applyAlignment="1">
      <alignment horizontal="center" vertical="center" wrapText="1"/>
    </xf>
    <xf numFmtId="178" fontId="0" fillId="0" borderId="8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8" fontId="0" fillId="0" borderId="4" xfId="0" applyNumberFormat="1" applyFont="1" applyBorder="1" applyAlignment="1">
      <alignment horizontal="center" vertical="center" wrapText="1"/>
    </xf>
    <xf numFmtId="178" fontId="4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178" fontId="0" fillId="2" borderId="4" xfId="0" applyNumberFormat="1" applyFill="1" applyBorder="1" applyAlignment="1">
      <alignment horizontal="center" vertical="center"/>
    </xf>
    <xf numFmtId="179" fontId="5" fillId="0" borderId="4" xfId="0" applyNumberFormat="1" applyFont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81" fontId="0" fillId="0" borderId="0" xfId="0" applyNumberFormat="1">
      <alignment vertical="center"/>
    </xf>
    <xf numFmtId="0" fontId="2" fillId="0" borderId="5" xfId="0" applyFont="1" applyBorder="1" applyAlignment="1">
      <alignment horizontal="center" vertical="center"/>
    </xf>
    <xf numFmtId="179" fontId="0" fillId="0" borderId="7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9" fontId="0" fillId="0" borderId="8" xfId="0" applyNumberFormat="1" applyFont="1" applyBorder="1" applyAlignment="1">
      <alignment horizontal="center" vertical="center"/>
    </xf>
    <xf numFmtId="181" fontId="0" fillId="0" borderId="8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9" fontId="0" fillId="2" borderId="4" xfId="0" applyNumberFormat="1" applyFont="1" applyFill="1" applyBorder="1" applyAlignment="1">
      <alignment horizontal="center" vertical="center"/>
    </xf>
    <xf numFmtId="181" fontId="0" fillId="2" borderId="7" xfId="0" applyNumberFormat="1" applyFont="1" applyFill="1" applyBorder="1" applyAlignment="1">
      <alignment horizontal="center" vertical="center"/>
    </xf>
    <xf numFmtId="179" fontId="0" fillId="2" borderId="4" xfId="0" applyNumberFormat="1" applyFill="1" applyBorder="1" applyAlignment="1">
      <alignment horizontal="center" vertical="center"/>
    </xf>
    <xf numFmtId="179" fontId="0" fillId="4" borderId="4" xfId="0" applyNumberFormat="1" applyFont="1" applyFill="1" applyBorder="1" applyAlignment="1">
      <alignment horizontal="center" vertical="center"/>
    </xf>
    <xf numFmtId="181" fontId="0" fillId="2" borderId="9" xfId="0" applyNumberFormat="1" applyFont="1" applyFill="1" applyBorder="1" applyAlignment="1">
      <alignment horizontal="center" vertical="center"/>
    </xf>
    <xf numFmtId="181" fontId="0" fillId="2" borderId="8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82" fontId="4" fillId="2" borderId="4" xfId="0" applyNumberFormat="1" applyFont="1" applyFill="1" applyBorder="1" applyAlignment="1">
      <alignment horizontal="center" vertical="center" wrapText="1"/>
    </xf>
    <xf numFmtId="182" fontId="4" fillId="2" borderId="4" xfId="0" applyNumberFormat="1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opLeftCell="C1" workbookViewId="0">
      <selection activeCell="T19" sqref="T19"/>
    </sheetView>
  </sheetViews>
  <sheetFormatPr defaultColWidth="9" defaultRowHeight="14.4"/>
  <cols>
    <col min="1" max="1" width="9" style="17"/>
    <col min="5" max="5" width="9.18518518518519"/>
    <col min="10" max="17" width="10.0277777777778"/>
    <col min="18" max="19" width="11.6296296296296" customWidth="1"/>
  </cols>
  <sheetData>
    <row r="1" ht="36.6" spans="1:2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ht="15.6" spans="1:20">
      <c r="A2" s="6" t="s">
        <v>1</v>
      </c>
      <c r="B2" s="54" t="s">
        <v>2</v>
      </c>
      <c r="C2" s="54" t="s">
        <v>3</v>
      </c>
      <c r="D2" s="55" t="s">
        <v>4</v>
      </c>
      <c r="E2" s="56"/>
      <c r="F2" s="57"/>
      <c r="G2" s="55" t="s">
        <v>5</v>
      </c>
      <c r="H2" s="56"/>
      <c r="I2" s="57"/>
      <c r="J2" s="54" t="s">
        <v>4</v>
      </c>
      <c r="K2" s="54"/>
      <c r="L2" s="54"/>
      <c r="M2" s="54"/>
      <c r="N2" s="54" t="s">
        <v>5</v>
      </c>
      <c r="O2" s="54"/>
      <c r="P2" s="54"/>
      <c r="Q2" s="54"/>
      <c r="R2" s="58" t="s">
        <v>6</v>
      </c>
      <c r="S2" s="58" t="s">
        <v>7</v>
      </c>
      <c r="T2" s="58" t="s">
        <v>8</v>
      </c>
    </row>
    <row r="3" ht="15.6" spans="1:20">
      <c r="A3" s="4"/>
      <c r="B3" s="54">
        <v>34.5</v>
      </c>
      <c r="C3" s="54"/>
      <c r="D3" s="59" t="s">
        <v>9</v>
      </c>
      <c r="E3" s="54" t="s">
        <v>10</v>
      </c>
      <c r="F3" s="54" t="s">
        <v>11</v>
      </c>
      <c r="G3" s="59" t="s">
        <v>9</v>
      </c>
      <c r="H3" s="54" t="s">
        <v>12</v>
      </c>
      <c r="I3" s="54" t="s">
        <v>13</v>
      </c>
      <c r="J3" s="54" t="s">
        <v>14</v>
      </c>
      <c r="K3" s="54"/>
      <c r="L3" s="54" t="s">
        <v>15</v>
      </c>
      <c r="M3" s="54"/>
      <c r="N3" s="54" t="s">
        <v>14</v>
      </c>
      <c r="O3" s="54"/>
      <c r="P3" s="54" t="s">
        <v>15</v>
      </c>
      <c r="Q3" s="54"/>
      <c r="R3" s="58"/>
      <c r="S3" s="58"/>
      <c r="T3" s="58"/>
    </row>
    <row r="4" ht="15.6" spans="1:20">
      <c r="A4" s="4"/>
      <c r="B4" s="54">
        <v>44.2</v>
      </c>
      <c r="C4" s="54"/>
      <c r="D4" s="60"/>
      <c r="E4" s="54"/>
      <c r="F4" s="54"/>
      <c r="G4" s="60"/>
      <c r="H4" s="54"/>
      <c r="I4" s="54"/>
      <c r="J4" s="54" t="s">
        <v>10</v>
      </c>
      <c r="K4" s="54" t="s">
        <v>11</v>
      </c>
      <c r="L4" s="54" t="s">
        <v>10</v>
      </c>
      <c r="M4" s="54" t="s">
        <v>11</v>
      </c>
      <c r="N4" s="54" t="s">
        <v>12</v>
      </c>
      <c r="O4" s="54" t="s">
        <v>13</v>
      </c>
      <c r="P4" s="54" t="s">
        <v>12</v>
      </c>
      <c r="Q4" s="54" t="s">
        <v>13</v>
      </c>
      <c r="R4" s="58"/>
      <c r="S4" s="58"/>
      <c r="T4" s="58"/>
    </row>
    <row r="5" ht="15.6" spans="1:20">
      <c r="A5" s="4">
        <v>1</v>
      </c>
      <c r="B5" s="54" t="s">
        <v>16</v>
      </c>
      <c r="C5" s="28">
        <v>37.5</v>
      </c>
      <c r="D5" s="30"/>
      <c r="E5" s="30"/>
      <c r="F5" s="30"/>
      <c r="G5" s="30"/>
      <c r="H5" s="30"/>
      <c r="I5" s="30"/>
      <c r="J5" s="61"/>
      <c r="K5" s="61"/>
      <c r="L5" s="61"/>
      <c r="M5" s="61"/>
      <c r="N5" s="62"/>
      <c r="O5" s="62"/>
      <c r="P5" s="62"/>
      <c r="Q5" s="62"/>
      <c r="R5" s="58">
        <f t="shared" ref="R5:R18" si="0">31000/((N5+O5)*(J5+K5))</f>
      </c>
      <c r="S5" s="58">
        <f t="shared" ref="S5:S18" si="1">91000/((P5+Q5)*(L5+M5))</f>
      </c>
      <c r="T5" s="63">
        <f>10*LOG10((R5+S5)/2)</f>
      </c>
    </row>
    <row r="6" ht="15.6" spans="1:20">
      <c r="A6" s="4">
        <v>2</v>
      </c>
      <c r="B6" s="54"/>
      <c r="C6" s="28">
        <v>37.75</v>
      </c>
      <c r="D6" s="30"/>
      <c r="E6" s="30"/>
      <c r="F6" s="30"/>
      <c r="G6" s="30"/>
      <c r="H6" s="30"/>
      <c r="I6" s="30"/>
      <c r="J6" s="61"/>
      <c r="K6" s="61"/>
      <c r="L6" s="61"/>
      <c r="M6" s="61"/>
      <c r="N6" s="62"/>
      <c r="O6" s="62"/>
      <c r="P6" s="62"/>
      <c r="Q6" s="62"/>
      <c r="R6" s="58">
        <f t="shared" si="0"/>
      </c>
      <c r="S6" s="58">
        <f t="shared" si="1"/>
      </c>
      <c r="T6" s="63">
        <f t="shared" ref="T5:T18" si="2">10*LOG10((R6+S6)/2)</f>
      </c>
    </row>
    <row r="7" ht="15.6" spans="1:20">
      <c r="A7" s="4">
        <v>3</v>
      </c>
      <c r="B7" s="54"/>
      <c r="C7" s="28">
        <v>38</v>
      </c>
      <c r="D7" s="30"/>
      <c r="E7" s="30"/>
      <c r="F7" s="30"/>
      <c r="G7" s="30"/>
      <c r="H7" s="30"/>
      <c r="I7" s="30"/>
      <c r="J7" s="61"/>
      <c r="K7" s="61"/>
      <c r="L7" s="61"/>
      <c r="M7" s="61"/>
      <c r="N7" s="62"/>
      <c r="O7" s="62"/>
      <c r="P7" s="62"/>
      <c r="Q7" s="62"/>
      <c r="R7" s="58">
        <f t="shared" si="0"/>
      </c>
      <c r="S7" s="58">
        <f t="shared" si="1"/>
      </c>
      <c r="T7" s="63">
        <f t="shared" si="2"/>
      </c>
    </row>
    <row r="8" ht="15.6" spans="1:20">
      <c r="A8" s="4">
        <v>4</v>
      </c>
      <c r="B8" s="54"/>
      <c r="C8" s="28">
        <v>39.95</v>
      </c>
      <c r="D8" s="30"/>
      <c r="E8" s="30"/>
      <c r="F8" s="30"/>
      <c r="G8" s="30"/>
      <c r="H8" s="30"/>
      <c r="I8" s="30"/>
      <c r="J8" s="61"/>
      <c r="K8" s="61"/>
      <c r="L8" s="61"/>
      <c r="M8" s="61"/>
      <c r="N8" s="62"/>
      <c r="O8" s="62"/>
      <c r="P8" s="62"/>
      <c r="Q8" s="62"/>
      <c r="R8" s="58">
        <f t="shared" si="0"/>
      </c>
      <c r="S8" s="58">
        <f t="shared" si="1"/>
      </c>
      <c r="T8" s="63">
        <f t="shared" si="2"/>
      </c>
    </row>
    <row r="9" ht="15.6" spans="1:20">
      <c r="A9" s="4">
        <v>5</v>
      </c>
      <c r="B9" s="54"/>
      <c r="C9" s="28">
        <v>39.975</v>
      </c>
      <c r="D9" s="30"/>
      <c r="E9" s="30"/>
      <c r="F9" s="30"/>
      <c r="G9" s="30"/>
      <c r="H9" s="30"/>
      <c r="I9" s="30"/>
      <c r="J9" s="61"/>
      <c r="K9" s="61"/>
      <c r="L9" s="61"/>
      <c r="M9" s="61"/>
      <c r="N9" s="62"/>
      <c r="O9" s="62"/>
      <c r="P9" s="62"/>
      <c r="Q9" s="62"/>
      <c r="R9" s="58">
        <f t="shared" si="0"/>
      </c>
      <c r="S9" s="58">
        <f t="shared" si="1"/>
      </c>
      <c r="T9" s="63">
        <f t="shared" si="2"/>
      </c>
    </row>
    <row r="10" ht="15.6" spans="1:20">
      <c r="A10" s="4">
        <v>6</v>
      </c>
      <c r="B10" s="54"/>
      <c r="C10" s="28">
        <v>40</v>
      </c>
      <c r="D10" s="30"/>
      <c r="E10" s="30"/>
      <c r="F10" s="30"/>
      <c r="G10" s="30"/>
      <c r="H10" s="30"/>
      <c r="I10" s="30"/>
      <c r="J10" s="61"/>
      <c r="K10" s="61"/>
      <c r="L10" s="61"/>
      <c r="M10" s="61"/>
      <c r="N10" s="62"/>
      <c r="O10" s="62"/>
      <c r="P10" s="62"/>
      <c r="Q10" s="62"/>
      <c r="R10" s="58">
        <f t="shared" si="0"/>
      </c>
      <c r="S10" s="58">
        <f t="shared" si="1"/>
      </c>
      <c r="T10" s="63">
        <f t="shared" si="2"/>
      </c>
    </row>
    <row r="11" ht="15.6" spans="1:20">
      <c r="A11" s="4">
        <v>7</v>
      </c>
      <c r="B11" s="54"/>
      <c r="C11" s="28">
        <v>40.025</v>
      </c>
      <c r="D11" s="30"/>
      <c r="E11" s="30"/>
      <c r="F11" s="30"/>
      <c r="G11" s="30"/>
      <c r="H11" s="30"/>
      <c r="I11" s="30"/>
      <c r="J11" s="61"/>
      <c r="K11" s="61"/>
      <c r="L11" s="61"/>
      <c r="M11" s="61"/>
      <c r="N11" s="62"/>
      <c r="O11" s="62"/>
      <c r="P11" s="62"/>
      <c r="Q11" s="62"/>
      <c r="R11" s="58">
        <f t="shared" si="0"/>
      </c>
      <c r="S11" s="58">
        <f t="shared" si="1"/>
      </c>
      <c r="T11" s="63">
        <f t="shared" si="2"/>
      </c>
    </row>
    <row r="12" ht="15.6" spans="1:20">
      <c r="A12" s="4">
        <v>8</v>
      </c>
      <c r="B12" s="54"/>
      <c r="C12" s="28">
        <v>40.05</v>
      </c>
      <c r="D12" s="30"/>
      <c r="E12" s="30"/>
      <c r="F12" s="30"/>
      <c r="G12" s="30"/>
      <c r="H12" s="30"/>
      <c r="I12" s="30"/>
      <c r="J12" s="61"/>
      <c r="K12" s="61"/>
      <c r="L12" s="61"/>
      <c r="M12" s="61"/>
      <c r="N12" s="62"/>
      <c r="O12" s="62"/>
      <c r="P12" s="62"/>
      <c r="Q12" s="62"/>
      <c r="R12" s="58">
        <f t="shared" si="0"/>
      </c>
      <c r="S12" s="58">
        <f t="shared" si="1"/>
      </c>
      <c r="T12" s="63">
        <f t="shared" si="2"/>
      </c>
    </row>
    <row r="13" ht="15.6" spans="1:20">
      <c r="A13" s="4">
        <v>9</v>
      </c>
      <c r="B13" s="54" t="s">
        <v>17</v>
      </c>
      <c r="C13" s="28">
        <v>47.2</v>
      </c>
      <c r="D13" s="30"/>
      <c r="E13" s="30"/>
      <c r="F13" s="30"/>
      <c r="G13" s="30"/>
      <c r="H13" s="30"/>
      <c r="I13" s="30"/>
      <c r="J13" s="61"/>
      <c r="K13" s="61"/>
      <c r="L13" s="61"/>
      <c r="M13" s="61"/>
      <c r="N13" s="62"/>
      <c r="O13" s="62"/>
      <c r="P13" s="62"/>
      <c r="Q13" s="62"/>
      <c r="R13" s="58">
        <f t="shared" si="0"/>
      </c>
      <c r="S13" s="58">
        <f t="shared" si="1"/>
      </c>
      <c r="T13" s="63">
        <f t="shared" si="2"/>
      </c>
    </row>
    <row r="14" ht="15.6" spans="1:20">
      <c r="A14" s="4">
        <v>10</v>
      </c>
      <c r="B14" s="54"/>
      <c r="C14" s="28">
        <v>48</v>
      </c>
      <c r="D14" s="30"/>
      <c r="E14" s="30"/>
      <c r="F14" s="30"/>
      <c r="G14" s="30"/>
      <c r="H14" s="30"/>
      <c r="I14" s="30"/>
      <c r="J14" s="61"/>
      <c r="K14" s="61"/>
      <c r="L14" s="61"/>
      <c r="M14" s="61"/>
      <c r="N14" s="62"/>
      <c r="O14" s="62"/>
      <c r="P14" s="62"/>
      <c r="Q14" s="62"/>
      <c r="R14" s="58">
        <f t="shared" si="0"/>
      </c>
      <c r="S14" s="58">
        <f t="shared" si="1"/>
      </c>
      <c r="T14" s="63">
        <f t="shared" si="2"/>
      </c>
    </row>
    <row r="15" ht="15.6" spans="1:20">
      <c r="A15" s="4">
        <v>11</v>
      </c>
      <c r="B15" s="54"/>
      <c r="C15" s="28">
        <v>49.2</v>
      </c>
      <c r="D15" s="30"/>
      <c r="E15" s="30"/>
      <c r="F15" s="30"/>
      <c r="G15" s="30"/>
      <c r="H15" s="30"/>
      <c r="I15" s="30"/>
      <c r="J15" s="61"/>
      <c r="K15" s="61"/>
      <c r="L15" s="61"/>
      <c r="M15" s="61"/>
      <c r="N15" s="62"/>
      <c r="O15" s="62"/>
      <c r="P15" s="62"/>
      <c r="Q15" s="62"/>
      <c r="R15" s="58">
        <f t="shared" si="0"/>
      </c>
      <c r="S15" s="58">
        <f t="shared" si="1"/>
      </c>
      <c r="T15" s="63">
        <f t="shared" si="2"/>
      </c>
    </row>
    <row r="16" ht="15.6" spans="1:20">
      <c r="A16" s="4">
        <v>12</v>
      </c>
      <c r="B16" s="54"/>
      <c r="C16" s="28">
        <v>49.7</v>
      </c>
      <c r="D16" s="30"/>
      <c r="E16" s="30"/>
      <c r="F16" s="30"/>
      <c r="G16" s="30"/>
      <c r="H16" s="30"/>
      <c r="I16" s="30"/>
      <c r="J16" s="61"/>
      <c r="K16" s="61"/>
      <c r="L16" s="61"/>
      <c r="M16" s="61"/>
      <c r="N16" s="62"/>
      <c r="O16" s="62"/>
      <c r="P16" s="62"/>
      <c r="Q16" s="62"/>
      <c r="R16" s="58">
        <f t="shared" si="0"/>
      </c>
      <c r="S16" s="58">
        <f t="shared" si="1"/>
      </c>
      <c r="T16" s="63">
        <f t="shared" si="2"/>
      </c>
    </row>
    <row r="17" ht="15.6" spans="1:20">
      <c r="A17" s="4">
        <v>13</v>
      </c>
      <c r="B17" s="54"/>
      <c r="C17" s="28">
        <v>49.72</v>
      </c>
      <c r="D17" s="30"/>
      <c r="E17" s="30"/>
      <c r="F17" s="30"/>
      <c r="G17" s="30"/>
      <c r="H17" s="30"/>
      <c r="I17" s="30"/>
      <c r="J17" s="61"/>
      <c r="K17" s="61"/>
      <c r="L17" s="61"/>
      <c r="M17" s="61"/>
      <c r="N17" s="62"/>
      <c r="O17" s="62"/>
      <c r="P17" s="62"/>
      <c r="Q17" s="62"/>
      <c r="R17" s="58">
        <f t="shared" si="0"/>
      </c>
      <c r="S17" s="58">
        <f t="shared" si="1"/>
      </c>
      <c r="T17" s="63">
        <f t="shared" si="2"/>
      </c>
    </row>
    <row r="18" ht="15.6" spans="1:20">
      <c r="A18" s="4">
        <v>14</v>
      </c>
      <c r="B18" s="54"/>
      <c r="C18" s="28">
        <v>49.75</v>
      </c>
      <c r="D18" s="30"/>
      <c r="E18" s="30"/>
      <c r="F18" s="30"/>
      <c r="G18" s="30"/>
      <c r="H18" s="30"/>
      <c r="I18" s="30"/>
      <c r="J18" s="61"/>
      <c r="K18" s="61"/>
      <c r="L18" s="61"/>
      <c r="M18" s="61"/>
      <c r="N18" s="62"/>
      <c r="O18" s="62"/>
      <c r="P18" s="62"/>
      <c r="Q18" s="62"/>
      <c r="R18" s="58">
        <f t="shared" si="0"/>
      </c>
      <c r="S18" s="58">
        <f t="shared" si="1"/>
      </c>
      <c r="T18" s="63">
        <f t="shared" si="2"/>
      </c>
    </row>
    <row r="19" ht="15.6" spans="1:20">
      <c r="A19" s="4">
        <v>15</v>
      </c>
      <c r="B19" s="54"/>
      <c r="C19" s="28">
        <v>49.78</v>
      </c>
      <c r="D19" s="30"/>
      <c r="E19" s="30"/>
      <c r="F19" s="30"/>
      <c r="G19" s="30"/>
      <c r="H19" s="30"/>
      <c r="I19" s="30"/>
      <c r="J19" s="61"/>
      <c r="K19" s="61"/>
      <c r="L19" s="61"/>
      <c r="M19" s="61"/>
      <c r="N19" s="62"/>
      <c r="O19" s="62"/>
      <c r="P19" s="62"/>
      <c r="Q19" s="62"/>
      <c r="R19" s="58">
        <f t="shared" ref="R19:R20" si="3">31000/((N19+O19)*(J19+K19))</f>
      </c>
      <c r="S19" s="58">
        <f t="shared" ref="S19:S20" si="4">91000/((P19+Q19)*(L19+M19))</f>
      </c>
      <c r="T19" s="63">
        <f t="shared" ref="T19:T20" si="5">10*LOG10((R19+S19)/2)</f>
      </c>
    </row>
    <row r="20" ht="15.6" spans="1:20">
      <c r="A20" s="4">
        <v>16</v>
      </c>
      <c r="B20" s="54"/>
      <c r="C20" s="28">
        <v>49.8</v>
      </c>
      <c r="D20" s="30"/>
      <c r="E20" s="30"/>
      <c r="F20" s="30"/>
      <c r="G20" s="30"/>
      <c r="H20" s="30"/>
      <c r="I20" s="30"/>
      <c r="J20" s="61"/>
      <c r="K20" s="61"/>
      <c r="L20" s="61"/>
      <c r="M20" s="61"/>
      <c r="N20" s="62"/>
      <c r="O20" s="62"/>
      <c r="P20" s="62"/>
      <c r="Q20" s="62"/>
      <c r="R20" s="58">
        <f t="shared" si="3"/>
      </c>
      <c r="S20" s="58">
        <f t="shared" si="4"/>
      </c>
      <c r="T20" s="63">
        <f t="shared" si="5"/>
      </c>
    </row>
    <row r="21" spans="1:20">
      <c r="D21" t="s">
        <v>18</v>
      </c>
    </row>
  </sheetData>
  <mergeCells count="22">
    <mergeCell ref="A1:T1"/>
    <mergeCell ref="D2:F2"/>
    <mergeCell ref="G2:I2"/>
    <mergeCell ref="J2:M2"/>
    <mergeCell ref="N2:Q2"/>
    <mergeCell ref="J3:K3"/>
    <mergeCell ref="L3:M3"/>
    <mergeCell ref="N3:O3"/>
    <mergeCell ref="P3:Q3"/>
    <mergeCell ref="A2:A4"/>
    <mergeCell ref="B5:B12"/>
    <mergeCell ref="B13:B20"/>
    <mergeCell ref="C2:C4"/>
    <mergeCell ref="D3:D4"/>
    <mergeCell ref="E3:E4"/>
    <mergeCell ref="F3:F4"/>
    <mergeCell ref="G3:G4"/>
    <mergeCell ref="H3:H4"/>
    <mergeCell ref="I3:I4"/>
    <mergeCell ref="R2:R4"/>
    <mergeCell ref="S2:S4"/>
    <mergeCell ref="T2:T4"/>
  </mergeCells>
  <conditionalFormatting sqref="F13:I13">
    <cfRule type="cellIs" dxfId="0" priority="1" operator="greaterThan">
      <formula>-14</formula>
    </cfRule>
  </conditionalFormatting>
  <conditionalFormatting sqref="E5:F12 E13 E14:F20 H5:I12 H14:I20">
    <cfRule type="cellIs" dxfId="0" priority="2" operator="greaterThan">
      <formula>-14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I19" sqref="I19"/>
    </sheetView>
  </sheetViews>
  <sheetFormatPr defaultColWidth="9" defaultRowHeight="14.4"/>
  <cols>
    <col min="1" max="1" width="9" style="17"/>
    <col min="7" max="7" width="9" style="39"/>
  </cols>
  <sheetData>
    <row r="1" ht="36.6" spans="1:11">
      <c r="A1" s="40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ht="13.5" customHeight="1" spans="1:11">
      <c r="A2" s="6" t="s">
        <v>1</v>
      </c>
      <c r="B2" s="6" t="s">
        <v>20</v>
      </c>
      <c r="C2" s="19" t="s">
        <v>21</v>
      </c>
      <c r="D2" s="41" t="s">
        <v>22</v>
      </c>
      <c r="E2" s="21" t="s">
        <v>23</v>
      </c>
      <c r="F2" s="21"/>
      <c r="G2" s="42" t="s">
        <v>24</v>
      </c>
      <c r="H2" s="42"/>
      <c r="I2" s="27" t="s">
        <v>25</v>
      </c>
      <c r="J2" s="43" t="s">
        <v>26</v>
      </c>
      <c r="K2" s="21" t="s">
        <v>27</v>
      </c>
    </row>
    <row r="3" spans="1:11">
      <c r="A3" s="4"/>
      <c r="B3" s="6"/>
      <c r="C3" s="25"/>
      <c r="D3" s="44"/>
      <c r="E3" s="21" t="s">
        <v>28</v>
      </c>
      <c r="F3" s="21" t="s">
        <v>29</v>
      </c>
      <c r="G3" s="45" t="s">
        <v>30</v>
      </c>
      <c r="H3" s="46" t="s">
        <v>23</v>
      </c>
      <c r="I3" s="27"/>
      <c r="J3" s="47"/>
      <c r="K3" s="21"/>
    </row>
    <row r="4" ht="15.6" spans="1:11">
      <c r="A4" s="4">
        <v>1</v>
      </c>
      <c r="B4" s="28">
        <v>47.2</v>
      </c>
      <c r="C4" s="29">
        <f>3/B4*100</f>
      </c>
      <c r="D4" s="22">
        <f>方向图!T13</f>
      </c>
      <c r="E4" s="31"/>
      <c r="F4" s="48"/>
      <c r="G4" s="49"/>
      <c r="H4" s="33">
        <f>685.81*G4*G4/(C4*C4)</f>
      </c>
      <c r="I4" s="22">
        <f t="shared" ref="I4:I11" si="0">D4-E4-F4-H4</f>
      </c>
      <c r="J4" s="50"/>
      <c r="K4" s="51">
        <f>I4+J4</f>
      </c>
    </row>
    <row r="5" ht="15.6" spans="1:11">
      <c r="A5" s="4">
        <v>2</v>
      </c>
      <c r="B5" s="28">
        <v>48</v>
      </c>
      <c r="C5" s="29">
        <f t="shared" ref="C5:C11" si="1">3/B5*100</f>
      </c>
      <c r="D5" s="22">
        <f>方向图!T14</f>
      </c>
      <c r="E5" s="31"/>
      <c r="F5" s="48"/>
      <c r="G5" s="52"/>
      <c r="H5" s="33">
        <f>685.81*G4*G4/(C5*C5)</f>
      </c>
      <c r="I5" s="22">
        <f t="shared" si="0"/>
      </c>
      <c r="J5" s="50"/>
      <c r="K5" s="51">
        <f t="shared" ref="K5:K11" si="2">I5+J5</f>
      </c>
    </row>
    <row r="6" ht="15.6" spans="1:11">
      <c r="A6" s="4">
        <v>3</v>
      </c>
      <c r="B6" s="28">
        <v>49.2</v>
      </c>
      <c r="C6" s="29">
        <f t="shared" si="1"/>
      </c>
      <c r="D6" s="22">
        <f>方向图!T15</f>
      </c>
      <c r="E6" s="31"/>
      <c r="F6" s="48"/>
      <c r="G6" s="52"/>
      <c r="H6" s="33">
        <f>685.81*G4*G4/(C6*C6)</f>
      </c>
      <c r="I6" s="22">
        <f t="shared" si="0"/>
      </c>
      <c r="J6" s="50"/>
      <c r="K6" s="51">
        <f t="shared" si="2"/>
      </c>
    </row>
    <row r="7" ht="15.6" spans="1:11">
      <c r="A7" s="4">
        <v>4</v>
      </c>
      <c r="B7" s="28">
        <v>49.7</v>
      </c>
      <c r="C7" s="29">
        <f t="shared" si="1"/>
      </c>
      <c r="D7" s="22">
        <f>方向图!T16</f>
      </c>
      <c r="E7" s="31"/>
      <c r="F7" s="48"/>
      <c r="G7" s="52"/>
      <c r="H7" s="33">
        <f>685.81*G4*G4/(C7*C7)</f>
      </c>
      <c r="I7" s="22">
        <f t="shared" si="0"/>
      </c>
      <c r="J7" s="50"/>
      <c r="K7" s="51">
        <f t="shared" si="2"/>
      </c>
    </row>
    <row r="8" ht="15.6" spans="1:11">
      <c r="A8" s="4">
        <v>5</v>
      </c>
      <c r="B8" s="28">
        <v>49.72</v>
      </c>
      <c r="C8" s="29">
        <f t="shared" si="1"/>
      </c>
      <c r="D8" s="22">
        <f>方向图!T17</f>
      </c>
      <c r="E8" s="31"/>
      <c r="F8" s="48"/>
      <c r="G8" s="52"/>
      <c r="H8" s="33">
        <f>685.81*G4*G4/(C8*C8)</f>
      </c>
      <c r="I8" s="22">
        <f t="shared" si="0"/>
      </c>
      <c r="J8" s="50"/>
      <c r="K8" s="51">
        <f t="shared" si="2"/>
      </c>
    </row>
    <row r="9" ht="15.6" spans="1:11">
      <c r="A9" s="4">
        <v>6</v>
      </c>
      <c r="B9" s="28">
        <v>49.75</v>
      </c>
      <c r="C9" s="29">
        <f t="shared" si="1"/>
      </c>
      <c r="D9" s="22">
        <f>方向图!T18</f>
      </c>
      <c r="E9" s="31"/>
      <c r="F9" s="48"/>
      <c r="G9" s="52"/>
      <c r="H9" s="33">
        <f>685.81*G4*G4/(C9*C9)</f>
      </c>
      <c r="I9" s="22">
        <f t="shared" si="0"/>
      </c>
      <c r="J9" s="50"/>
      <c r="K9" s="51">
        <f t="shared" si="2"/>
      </c>
    </row>
    <row r="10" ht="15.6" spans="1:11">
      <c r="A10" s="4">
        <v>7</v>
      </c>
      <c r="B10" s="28">
        <v>49.78</v>
      </c>
      <c r="C10" s="29">
        <f t="shared" si="1"/>
      </c>
      <c r="D10" s="22">
        <f>方向图!T19</f>
      </c>
      <c r="E10" s="31"/>
      <c r="F10" s="48"/>
      <c r="G10" s="52"/>
      <c r="H10" s="33">
        <f>685.81*G4*G4/(C10*C10)</f>
      </c>
      <c r="I10" s="22">
        <f t="shared" si="0"/>
      </c>
      <c r="J10" s="50"/>
      <c r="K10" s="51">
        <f t="shared" si="2"/>
      </c>
    </row>
    <row r="11" ht="15.6" spans="1:11">
      <c r="A11" s="4">
        <v>8</v>
      </c>
      <c r="B11" s="28">
        <v>49.8</v>
      </c>
      <c r="C11" s="29">
        <f t="shared" si="1"/>
      </c>
      <c r="D11" s="22">
        <f>方向图!T20</f>
      </c>
      <c r="E11" s="31"/>
      <c r="F11" s="48"/>
      <c r="G11" s="53"/>
      <c r="H11" s="33">
        <f>685.81*G4*G4/(C11*C11)</f>
      </c>
      <c r="I11" s="22">
        <f t="shared" si="0"/>
      </c>
      <c r="J11" s="50"/>
      <c r="K11" s="51">
        <f t="shared" si="2"/>
      </c>
    </row>
  </sheetData>
  <mergeCells count="11">
    <mergeCell ref="A1:K1"/>
    <mergeCell ref="E2:F2"/>
    <mergeCell ref="G2:H2"/>
    <mergeCell ref="A2:A3"/>
    <mergeCell ref="B2:B3"/>
    <mergeCell ref="C2:C3"/>
    <mergeCell ref="D2:D3"/>
    <mergeCell ref="G4:G11"/>
    <mergeCell ref="I2:I3"/>
    <mergeCell ref="J2:J3"/>
    <mergeCell ref="K2:K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L4" sqref="L4"/>
    </sheetView>
  </sheetViews>
  <sheetFormatPr defaultColWidth="9" defaultRowHeight="14.4"/>
  <cols>
    <col min="1" max="1" width="9" style="17"/>
    <col min="10" max="10" width="9" style="17"/>
    <col min="11" max="11" width="11.6296296296296" customWidth="1"/>
  </cols>
  <sheetData>
    <row r="1" ht="36.6" spans="1:13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A2" s="6" t="s">
        <v>1</v>
      </c>
      <c r="B2" s="6" t="s">
        <v>20</v>
      </c>
      <c r="C2" s="19" t="s">
        <v>21</v>
      </c>
      <c r="D2" s="20" t="s">
        <v>32</v>
      </c>
      <c r="E2" s="21" t="s">
        <v>23</v>
      </c>
      <c r="F2" s="21"/>
      <c r="G2" s="22"/>
      <c r="H2" s="22"/>
      <c r="I2" s="6" t="s">
        <v>33</v>
      </c>
      <c r="J2" s="6"/>
      <c r="K2" s="4"/>
      <c r="L2" s="23" t="s">
        <v>25</v>
      </c>
      <c r="M2" s="24" t="s">
        <v>34</v>
      </c>
    </row>
    <row r="3" ht="28.8" spans="1:13">
      <c r="A3" s="4"/>
      <c r="B3" s="6"/>
      <c r="C3" s="25"/>
      <c r="D3" s="26"/>
      <c r="E3" s="27" t="s">
        <v>35</v>
      </c>
      <c r="F3" s="27" t="s">
        <v>30</v>
      </c>
      <c r="G3" s="27" t="s">
        <v>36</v>
      </c>
      <c r="H3" s="27" t="s">
        <v>37</v>
      </c>
      <c r="I3" s="27" t="s">
        <v>38</v>
      </c>
      <c r="J3" s="27" t="s">
        <v>39</v>
      </c>
      <c r="K3" s="27" t="s">
        <v>40</v>
      </c>
      <c r="L3" s="23"/>
      <c r="M3" s="24"/>
    </row>
    <row r="4" ht="15.6" spans="1:13">
      <c r="A4" s="4">
        <v>1</v>
      </c>
      <c r="B4" s="28">
        <v>37.5</v>
      </c>
      <c r="C4" s="29">
        <f t="shared" ref="C4:C11" si="0">3/B4*100</f>
      </c>
      <c r="D4" s="30">
        <f>方向图!T5</f>
      </c>
      <c r="E4" s="31"/>
      <c r="F4" s="32"/>
      <c r="G4" s="33">
        <f>685.81*F4*F4/(C4*C4)</f>
      </c>
      <c r="H4" s="34"/>
      <c r="I4" s="22">
        <v>230</v>
      </c>
      <c r="J4" s="4"/>
      <c r="K4" s="27">
        <f>290*(10^(J4/10)-1)</f>
      </c>
      <c r="L4" s="35">
        <f>D4-E4-G4-H4</f>
      </c>
      <c r="M4" s="36">
        <f>L4-10*LOG10(I4+K4)</f>
      </c>
    </row>
    <row r="5" ht="15.6" spans="1:13">
      <c r="A5" s="4">
        <v>2</v>
      </c>
      <c r="B5" s="28">
        <v>37.75</v>
      </c>
      <c r="C5" s="29">
        <f t="shared" si="0"/>
      </c>
      <c r="D5" s="30">
        <f>方向图!T6</f>
      </c>
      <c r="E5" s="31"/>
      <c r="F5" s="37"/>
      <c r="G5" s="33">
        <f>685.81*F4*F4/(C5*C5)</f>
      </c>
      <c r="H5" s="34"/>
      <c r="I5" s="22">
        <v>230</v>
      </c>
      <c r="J5" s="4"/>
      <c r="K5" s="27">
        <f t="shared" ref="K5:K11" si="1">290*(10^(J5/10)-1)</f>
      </c>
      <c r="L5" s="35">
        <f t="shared" ref="L5:L11" si="2">D5-E5-G5-H5</f>
      </c>
      <c r="M5" s="36">
        <f t="shared" ref="M5:M11" si="3">L5-10*LOG10(I5+K5)</f>
      </c>
    </row>
    <row r="6" ht="15.6" spans="1:13">
      <c r="A6" s="4">
        <v>3</v>
      </c>
      <c r="B6" s="28">
        <v>38</v>
      </c>
      <c r="C6" s="29">
        <f t="shared" si="0"/>
      </c>
      <c r="D6" s="30">
        <f>方向图!T7</f>
      </c>
      <c r="E6" s="31"/>
      <c r="F6" s="37"/>
      <c r="G6" s="33">
        <f>685.81*F4*F4/(C6*C6)</f>
      </c>
      <c r="H6" s="34"/>
      <c r="I6" s="22">
        <v>230</v>
      </c>
      <c r="J6" s="4"/>
      <c r="K6" s="27">
        <f t="shared" si="1"/>
      </c>
      <c r="L6" s="35">
        <f t="shared" si="2"/>
      </c>
      <c r="M6" s="36">
        <f t="shared" si="3"/>
      </c>
    </row>
    <row r="7" ht="15.6" spans="1:13">
      <c r="A7" s="4">
        <v>4</v>
      </c>
      <c r="B7" s="28">
        <v>39.95</v>
      </c>
      <c r="C7" s="29">
        <f t="shared" si="0"/>
      </c>
      <c r="D7" s="30">
        <f>方向图!T8</f>
      </c>
      <c r="E7" s="31"/>
      <c r="F7" s="37"/>
      <c r="G7" s="33">
        <f>685.81*F4*F4/(C7*C7)</f>
      </c>
      <c r="H7" s="34"/>
      <c r="I7" s="22">
        <v>230</v>
      </c>
      <c r="J7" s="4"/>
      <c r="K7" s="27">
        <f t="shared" si="1"/>
      </c>
      <c r="L7" s="35">
        <f t="shared" si="2"/>
      </c>
      <c r="M7" s="36">
        <f t="shared" si="3"/>
      </c>
    </row>
    <row r="8" ht="15.6" spans="1:13">
      <c r="A8" s="4">
        <v>5</v>
      </c>
      <c r="B8" s="28">
        <v>39.975</v>
      </c>
      <c r="C8" s="29">
        <f t="shared" si="0"/>
      </c>
      <c r="D8" s="30">
        <f>方向图!T9</f>
      </c>
      <c r="E8" s="31"/>
      <c r="F8" s="37"/>
      <c r="G8" s="33">
        <f>685.81*F4*F4/(C8*C8)</f>
      </c>
      <c r="H8" s="34"/>
      <c r="I8" s="22">
        <v>230</v>
      </c>
      <c r="J8" s="4"/>
      <c r="K8" s="27">
        <f t="shared" si="1"/>
      </c>
      <c r="L8" s="35">
        <f t="shared" si="2"/>
      </c>
      <c r="M8" s="36">
        <f t="shared" si="3"/>
      </c>
    </row>
    <row r="9" ht="15.6" spans="1:13">
      <c r="A9" s="4">
        <v>6</v>
      </c>
      <c r="B9" s="28">
        <v>40</v>
      </c>
      <c r="C9" s="29">
        <f t="shared" si="0"/>
      </c>
      <c r="D9" s="30">
        <f>方向图!T10</f>
      </c>
      <c r="E9" s="31"/>
      <c r="F9" s="37"/>
      <c r="G9" s="33">
        <f>685.81*F4*F4/(C9*C9)</f>
      </c>
      <c r="H9" s="34"/>
      <c r="I9" s="22">
        <v>230</v>
      </c>
      <c r="J9" s="4"/>
      <c r="K9" s="27">
        <f t="shared" si="1"/>
      </c>
      <c r="L9" s="35">
        <f t="shared" si="2"/>
      </c>
      <c r="M9" s="36">
        <f t="shared" si="3"/>
      </c>
    </row>
    <row r="10" ht="15.6" spans="1:13">
      <c r="A10" s="4">
        <v>7</v>
      </c>
      <c r="B10" s="28">
        <v>40.025</v>
      </c>
      <c r="C10" s="29">
        <f t="shared" si="0"/>
      </c>
      <c r="D10" s="30">
        <f>方向图!T11</f>
      </c>
      <c r="E10" s="31"/>
      <c r="F10" s="37"/>
      <c r="G10" s="33">
        <f>685.81*F4*F4/(C10*C10)</f>
      </c>
      <c r="H10" s="34"/>
      <c r="I10" s="22">
        <v>230</v>
      </c>
      <c r="J10" s="4"/>
      <c r="K10" s="27">
        <f t="shared" si="1"/>
      </c>
      <c r="L10" s="35">
        <f t="shared" si="2"/>
      </c>
      <c r="M10" s="36">
        <f t="shared" si="3"/>
      </c>
    </row>
    <row r="11" ht="15.6" spans="1:13">
      <c r="A11" s="4">
        <v>8</v>
      </c>
      <c r="B11" s="28">
        <v>40.05</v>
      </c>
      <c r="C11" s="29">
        <f t="shared" si="0"/>
      </c>
      <c r="D11" s="30">
        <f>方向图!T12</f>
      </c>
      <c r="E11" s="31"/>
      <c r="F11" s="38"/>
      <c r="G11" s="33">
        <f>685.81*F4*F4/(C11*C11)</f>
      </c>
      <c r="H11" s="34"/>
      <c r="I11" s="22">
        <v>230</v>
      </c>
      <c r="J11" s="4"/>
      <c r="K11" s="27">
        <f t="shared" si="1"/>
      </c>
      <c r="L11" s="35">
        <f t="shared" si="2"/>
      </c>
      <c r="M11" s="36">
        <f t="shared" si="3"/>
      </c>
    </row>
    <row r="18" spans="3:3">
      <c r="C18" s="0"/>
    </row>
  </sheetData>
  <mergeCells count="10">
    <mergeCell ref="A1:M1"/>
    <mergeCell ref="E2:H2"/>
    <mergeCell ref="I2:K2"/>
    <mergeCell ref="A2:A3"/>
    <mergeCell ref="B2:B3"/>
    <mergeCell ref="C2:C3"/>
    <mergeCell ref="D2:D3"/>
    <mergeCell ref="F4:F11"/>
    <mergeCell ref="L2:L3"/>
    <mergeCell ref="M2:M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zoomScale="160" zoomScaleNormal="160" workbookViewId="0">
      <selection activeCell="C17" sqref="C17"/>
    </sheetView>
  </sheetViews>
  <sheetFormatPr defaultColWidth="9" defaultRowHeight="14.4" outlineLevelCol="3"/>
  <cols>
    <col min="2" max="2" width="11.5" customWidth="1"/>
    <col min="3" max="3" width="10.5" customWidth="1"/>
    <col min="4" max="4" width="29" customWidth="1"/>
  </cols>
  <sheetData>
    <row r="1" ht="25.8" spans="1:4">
      <c r="A1" s="5" t="s">
        <v>42</v>
      </c>
      <c r="B1" s="5"/>
      <c r="C1" s="5"/>
    </row>
    <row r="2" spans="1:4">
      <c r="A2" s="4" t="s">
        <v>43</v>
      </c>
      <c r="B2" s="6" t="s">
        <v>44</v>
      </c>
      <c r="C2" s="4"/>
      <c r="D2" s="7"/>
    </row>
    <row r="3" spans="1:4">
      <c r="A3" s="4"/>
      <c r="B3" s="4" t="s">
        <v>45</v>
      </c>
      <c r="C3" s="4" t="s">
        <v>46</v>
      </c>
    </row>
    <row r="4" spans="1:4">
      <c r="A4" s="4">
        <v>1</v>
      </c>
      <c r="B4" s="8"/>
      <c r="C4" s="8"/>
    </row>
    <row r="5" spans="1:4">
      <c r="A5" s="4">
        <v>2</v>
      </c>
      <c r="B5" s="8"/>
      <c r="C5" s="8"/>
    </row>
    <row r="6" spans="1:4">
      <c r="A6" s="4">
        <v>3</v>
      </c>
      <c r="B6" s="8"/>
      <c r="C6" s="8"/>
    </row>
    <row r="7" spans="1:4">
      <c r="A7" s="4">
        <v>4</v>
      </c>
      <c r="B7" s="8"/>
      <c r="C7" s="8"/>
    </row>
    <row r="8" spans="1:4">
      <c r="A8" s="4">
        <v>5</v>
      </c>
      <c r="B8" s="8"/>
      <c r="C8" s="8"/>
    </row>
    <row r="9" spans="1:4">
      <c r="A9" s="4">
        <v>6</v>
      </c>
      <c r="B9" s="8"/>
      <c r="C9" s="8"/>
    </row>
    <row r="10" spans="1:4">
      <c r="A10" s="4">
        <v>7</v>
      </c>
      <c r="B10" s="9"/>
      <c r="C10" s="8"/>
    </row>
    <row r="11" spans="1:4">
      <c r="A11" s="4">
        <v>8</v>
      </c>
      <c r="B11" s="8"/>
      <c r="C11" s="8"/>
    </row>
    <row r="12" spans="1:4">
      <c r="A12" s="4">
        <v>9</v>
      </c>
      <c r="B12" s="8"/>
      <c r="C12" s="8"/>
    </row>
    <row r="13" spans="1:4">
      <c r="A13" s="4">
        <v>10</v>
      </c>
      <c r="B13" s="8"/>
      <c r="C13" s="8"/>
    </row>
    <row r="14" spans="1:4">
      <c r="A14" s="4" t="s">
        <v>47</v>
      </c>
      <c r="B14" s="10">
        <f>AVERAGE(B4:B13)</f>
      </c>
      <c r="C14" s="10">
        <f>AVERAGE(C4:C13)</f>
      </c>
    </row>
    <row r="15" spans="1:4">
      <c r="A15" s="4" t="s">
        <v>48</v>
      </c>
      <c r="B15" s="11" cm="1">
        <f t="array" ref="B15">SQRT(SUMSQ(B4:B13-B$14)/COUNTA(B4:B13))</f>
      </c>
      <c r="C15" s="11" cm="1">
        <f t="array" ref="C15">SQRT(SUMSQ(C4:C13-C$14)/COUNTA(C4:C13))</f>
      </c>
    </row>
    <row r="16" spans="1:4">
      <c r="A16" s="4"/>
      <c r="B16" s="12">
        <f>SQRT(SUMSQ(B15:C15))</f>
      </c>
      <c r="C16" s="13"/>
    </row>
    <row r="17" spans="1:4">
      <c r="A17" s="4" t="s">
        <v>49</v>
      </c>
      <c r="B17" s="6" t="s">
        <v>50</v>
      </c>
      <c r="C17" s="4">
        <f>(方向图!J5+方向图!K5+方向图!N5+方向图!O5)/2/10</f>
      </c>
      <c r="D17" s="14"/>
    </row>
    <row r="18" spans="1:4">
      <c r="A18" s="15" t="s">
        <v>51</v>
      </c>
      <c r="B18" s="16"/>
      <c r="C18" s="16"/>
    </row>
  </sheetData>
  <mergeCells count="6">
    <mergeCell ref="A1:C1"/>
    <mergeCell ref="B2:C2"/>
    <mergeCell ref="B16:C16"/>
    <mergeCell ref="A18:C18"/>
    <mergeCell ref="A2:A3"/>
    <mergeCell ref="A15:A1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H23" sqref="H23"/>
    </sheetView>
  </sheetViews>
  <sheetFormatPr defaultColWidth="9.02777777777778" defaultRowHeight="14.4" outlineLevelCol="4"/>
  <cols>
    <col min="2" max="5" width="23.8981481481481" customWidth="1"/>
  </cols>
  <sheetData>
    <row r="1" spans="1:5">
      <c r="A1" s="1" t="s">
        <v>52</v>
      </c>
      <c r="B1" s="2"/>
      <c r="C1" s="2"/>
      <c r="D1" s="2"/>
      <c r="E1" s="3"/>
    </row>
    <row r="2" spans="1:5">
      <c r="A2" s="4" t="s">
        <v>53</v>
      </c>
      <c r="B2" s="4" t="s">
        <v>54</v>
      </c>
      <c r="C2" s="4" t="s">
        <v>55</v>
      </c>
      <c r="D2" s="4" t="s">
        <v>56</v>
      </c>
      <c r="E2" s="4" t="s">
        <v>57</v>
      </c>
    </row>
    <row r="3" spans="1:5">
      <c r="A3" s="4">
        <v>37.5</v>
      </c>
      <c r="B3" s="4"/>
      <c r="C3" s="4"/>
      <c r="D3" s="4"/>
      <c r="E3" s="4"/>
    </row>
    <row r="4" spans="1:5">
      <c r="A4" s="4">
        <v>37.75</v>
      </c>
      <c r="B4" s="4"/>
      <c r="C4" s="4"/>
      <c r="D4" s="4"/>
      <c r="E4" s="4"/>
    </row>
    <row r="5" spans="1:5">
      <c r="A5" s="4">
        <v>38</v>
      </c>
      <c r="B5" s="4"/>
      <c r="C5" s="4"/>
      <c r="D5" s="4"/>
      <c r="E5" s="4"/>
    </row>
    <row r="6" spans="1:5">
      <c r="A6" s="4">
        <v>39.95</v>
      </c>
      <c r="B6" s="4"/>
      <c r="C6" s="4"/>
      <c r="D6" s="4"/>
      <c r="E6" s="4"/>
    </row>
    <row r="7" spans="1:5">
      <c r="A7" s="4">
        <v>39.975</v>
      </c>
      <c r="B7" s="4"/>
      <c r="C7" s="4"/>
      <c r="D7" s="4"/>
      <c r="E7" s="4"/>
    </row>
    <row r="8" spans="1:5">
      <c r="A8" s="4">
        <v>40</v>
      </c>
      <c r="B8" s="4"/>
      <c r="C8" s="4"/>
      <c r="D8" s="4"/>
      <c r="E8" s="4"/>
    </row>
    <row r="9" spans="1:5">
      <c r="A9" s="4">
        <v>40.025</v>
      </c>
      <c r="B9" s="4"/>
      <c r="C9" s="4"/>
      <c r="D9" s="4"/>
      <c r="E9" s="4"/>
    </row>
    <row r="10" spans="1:5">
      <c r="A10" s="4">
        <v>40.05</v>
      </c>
      <c r="B10" s="4"/>
      <c r="C10" s="4"/>
      <c r="D10" s="4"/>
      <c r="E10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方向图</vt:lpstr>
      <vt:lpstr>EIRP-公式法</vt:lpstr>
      <vt:lpstr>GT-公式法</vt:lpstr>
      <vt:lpstr>跟踪精度</vt:lpstr>
      <vt:lpstr>前向链路（接收）标定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antenna-perf-record-fill</dc:creator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